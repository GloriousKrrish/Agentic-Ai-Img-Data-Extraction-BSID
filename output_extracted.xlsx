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Extracted Invoices" sheetId="1" state="visible" r:id="rId1"/>
  </sheets>
  <definedNames>
    <definedName name="_xlnm._FilterDatabase" localSheetId="0" hidden="1">'Enterprise Extracted Invoices'!$A$1:$V$11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92400E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0" customWidth="1" min="2" max="2"/>
    <col width="34" customWidth="1" min="3" max="3"/>
    <col width="27" customWidth="1" min="4" max="4"/>
    <col width="19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  <col width="37" customWidth="1" min="11" max="11"/>
    <col width="19" customWidth="1" min="12" max="12"/>
    <col width="17" customWidth="1" min="13" max="13"/>
    <col width="20" customWidth="1" min="14" max="14"/>
    <col width="158" customWidth="1" min="15" max="15"/>
    <col width="18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Ser No</t>
        </is>
      </c>
      <c r="B1" s="1" t="inlineStr">
        <is>
          <t>Invoice Images</t>
        </is>
      </c>
      <c r="C1" s="1" t="inlineStr">
        <is>
          <t>Customer Name</t>
        </is>
      </c>
      <c r="D1" s="1" t="inlineStr">
        <is>
          <t>Customer Mobile Number</t>
        </is>
      </c>
      <c r="E1" s="1" t="inlineStr">
        <is>
          <t>Vehicle Number</t>
        </is>
      </c>
      <c r="F1" s="1" t="inlineStr">
        <is>
          <t>Size</t>
        </is>
      </c>
      <c r="G1" s="1" t="inlineStr">
        <is>
          <t>Pattern</t>
        </is>
      </c>
      <c r="H1" s="1" t="inlineStr">
        <is>
          <t>DOT</t>
        </is>
      </c>
      <c r="I1" s="1" t="inlineStr">
        <is>
          <t>Cost</t>
        </is>
      </c>
      <c r="J1" s="1" t="inlineStr">
        <is>
          <t>Total Cost</t>
        </is>
      </c>
      <c r="K1" s="1" t="inlineStr">
        <is>
          <t>Dealer Name</t>
        </is>
      </c>
      <c r="L1" s="1" t="inlineStr">
        <is>
          <t>Invoice Number</t>
        </is>
      </c>
      <c r="M1" s="1" t="inlineStr">
        <is>
          <t>Invoice Date</t>
        </is>
      </c>
      <c r="N1" s="1" t="inlineStr">
        <is>
          <t>Dealer GST</t>
        </is>
      </c>
      <c r="O1" s="1" t="inlineStr">
        <is>
          <t>Dealer Address</t>
        </is>
      </c>
      <c r="P1" s="1" t="inlineStr">
        <is>
          <t>Serial Number</t>
        </is>
      </c>
      <c r="Q1" s="1" t="inlineStr">
        <is>
          <t>Quantity</t>
        </is>
      </c>
      <c r="R1" s="1" t="inlineStr">
        <is>
          <t>Discount</t>
        </is>
      </c>
      <c r="S1" s="1" t="inlineStr">
        <is>
          <t>Tax</t>
        </is>
      </c>
      <c r="T1" s="1" t="inlineStr">
        <is>
          <t>Confidence</t>
        </is>
      </c>
      <c r="U1" s="1" t="inlineStr">
        <is>
          <t>Status</t>
        </is>
      </c>
      <c r="V1" s="1" t="inlineStr">
        <is>
          <t>Remarks</t>
        </is>
      </c>
    </row>
    <row r="2">
      <c r="A2" s="2" t="n">
        <v>7</v>
      </c>
      <c r="B2" s="3">
        <f>HYPERLINK("https://api.cuup0dd28g-bridgesto1-p1-public.model-t.cc.commerce.ondemand.com/medias/Sales-1932.pdf?context=bWFzdGVyfFdhcnJhbnR5X0ludm9pY2V8NDQzOTh8YXBwbGljYXRpb24vcGRmfGFETmhMMmhtTXk4eU9UYzROamcyT1RjeU56STJNaTlUWVd4bGMxOHhPVE15TG5Ca1pnfDhhZGYzMzA2NjNkMDZmNTkwMDY1OWY1NjM3NzRkZjViYWVkMWQ4YjdlMmNmNmE3OWQ0NmZlY2YzMjViMjVjOGM", "View Image")</f>
        <v/>
      </c>
      <c r="C2" s="4" t="inlineStr">
        <is>
          <t>G. RAMBABU</t>
        </is>
      </c>
      <c r="D2" s="2" t="inlineStr">
        <is>
          <t>9542079555</t>
        </is>
      </c>
      <c r="E2" s="2" t="inlineStr">
        <is>
          <t>AP39UP1489</t>
        </is>
      </c>
      <c r="F2" s="4" t="inlineStr">
        <is>
          <t>205/65R15</t>
        </is>
      </c>
      <c r="G2" s="4" t="inlineStr">
        <is>
          <t>B390 CLIME</t>
        </is>
      </c>
      <c r="H2" s="2" t="n"/>
      <c r="I2" s="5" t="n">
        <v>1563.56</v>
      </c>
      <c r="J2" s="5" t="n">
        <v>1845</v>
      </c>
      <c r="K2" s="4" t="inlineStr">
        <is>
          <t>SRI NARASIMHA ENTERPRISES 25-26</t>
        </is>
      </c>
      <c r="L2" s="2" t="inlineStr">
        <is>
          <t>1932</t>
        </is>
      </c>
      <c r="M2" s="2" t="inlineStr">
        <is>
          <t>03/02/2026</t>
        </is>
      </c>
      <c r="N2" s="4" t="inlineStr">
        <is>
          <t>37ACRFS6104N1ZG</t>
        </is>
      </c>
      <c r="O2" s="4" t="inlineStr">
        <is>
          <t>#11-529, RRV Complex, Nagaralu, Amaravathi Road, Guntur.</t>
        </is>
      </c>
      <c r="P2" s="2" t="n"/>
      <c r="Q2" s="6" t="n">
        <v>1</v>
      </c>
      <c r="R2" s="7" t="n"/>
      <c r="S2" s="5" t="n">
        <v>281.44</v>
      </c>
      <c r="T2" s="8" t="inlineStr">
        <is>
          <t>82.4%</t>
        </is>
      </c>
      <c r="U2" s="2" t="n"/>
      <c r="V2" s="4" t="n"/>
    </row>
    <row r="3">
      <c r="A3" s="9" t="n">
        <v>6</v>
      </c>
      <c r="B3" s="10">
        <f>HYPERLINK("https://api.cuup0dd28g-bridgesto1-p1-public.model-t.cc.commerce.ondemand.com/medias/17700290073737488283448509556497.jpg?context=bWFzdGVyfFdhcnJhbnR5X0ludm9pY2V8MjUwMzExfGltYWdlL2pwZWd8YUdRNUwyZzRaUzh5T1RjME16YzNOVFl4TWprMU9DOHhOemN3TURJNU1EQTNNemN6TnpRNE9ESTRNelEwT0RVd09UVTFOalE1Tnk1cWNHY3xlZjI0YzUxNjIyZjY4ZTA1OGIzMGYwNGM2MjNkYjAyYzIxMjM1YjRkNTg0MjBhZDNlNzY1NjE0NmU4ZWQ2OWNl", "View Image")</f>
        <v/>
      </c>
      <c r="C3" s="11" t="inlineStr">
        <is>
          <t>G. MADHAVA</t>
        </is>
      </c>
      <c r="D3" s="9" t="inlineStr">
        <is>
          <t>8096501862</t>
        </is>
      </c>
      <c r="E3" s="9" t="inlineStr">
        <is>
          <t>AP39FV5064</t>
        </is>
      </c>
      <c r="F3" s="11" t="inlineStr">
        <is>
          <t>175/60 R 15</t>
        </is>
      </c>
      <c r="G3" s="11" t="inlineStr">
        <is>
          <t>Bridgestone</t>
        </is>
      </c>
      <c r="H3" s="9" t="inlineStr">
        <is>
          <t>DOT 4W79 KBC 4725</t>
        </is>
      </c>
      <c r="I3" s="12" t="n"/>
      <c r="J3" s="13" t="n">
        <v>6000</v>
      </c>
      <c r="K3" s="11" t="inlineStr">
        <is>
          <t>Karthikeya Auto I Service</t>
        </is>
      </c>
      <c r="L3" s="9" t="inlineStr">
        <is>
          <t>145</t>
        </is>
      </c>
      <c r="M3" s="9" t="inlineStr">
        <is>
          <t>24/11/2026</t>
        </is>
      </c>
      <c r="N3" s="11" t="inlineStr">
        <is>
          <t>37BISPR6661M1Z5</t>
        </is>
      </c>
      <c r="O3" s="11" t="inlineStr">
        <is>
          <t>Beside Nayara Petrol Pump, Nandikotkur Road, Nandyal Checkpost, KURNOOL-518007</t>
        </is>
      </c>
      <c r="P3" s="9" t="inlineStr">
        <is>
          <t>W979</t>
        </is>
      </c>
      <c r="Q3" s="12" t="n"/>
      <c r="R3" s="12" t="n"/>
      <c r="S3" s="12" t="n"/>
      <c r="T3" s="8" t="inlineStr">
        <is>
          <t>76.5%</t>
        </is>
      </c>
      <c r="U3" s="9" t="n"/>
      <c r="V3" s="11" t="n"/>
    </row>
    <row r="4">
      <c r="A4" s="2" t="n">
        <v>1</v>
      </c>
      <c r="B4" s="3">
        <f>HYPERLINK("https://api.cuup0dd28g-bridgesto1-p1-public.model-t.cc.commerce.ondemand.com/medias/17702719260617164510107539457489.jpg?context=bWFzdGVyfFdhcnJhbnR5X0ludm9pY2V8NTEyMjE0fGltYWdlL2pwZWd8YURFMkwyaG1PQzh5T1Rnek5UTXlOalExTlRnek9DOHhOemN3TWpjeE9USTJNRFl4TnpFMk5EVXhNREV3TnpVek9UUTFOelE0T1M1cWNHY3xkYTc0NmVkMzk5Y2ZmZWJmYWUyODc2OGRlNDkwZDY2OTFhMDNlZTI2YzNmOGM1NzIzNTBmYTA1YmU5ZmE2ZTll", "View Image")</f>
        <v/>
      </c>
      <c r="C4" s="4" t="inlineStr">
        <is>
          <t>G. Tarun Kumar</t>
        </is>
      </c>
      <c r="D4" s="2" t="inlineStr">
        <is>
          <t>9515921389</t>
        </is>
      </c>
      <c r="E4" s="2" t="inlineStr">
        <is>
          <t>AP40CG3296</t>
        </is>
      </c>
      <c r="F4" s="4" t="inlineStr">
        <is>
          <t>155/60 R15</t>
        </is>
      </c>
      <c r="G4" s="4" t="inlineStr">
        <is>
          <t>BRIDGESTONE</t>
        </is>
      </c>
      <c r="H4" s="2" t="inlineStr">
        <is>
          <t>DOT 4690KD13</t>
        </is>
      </c>
      <c r="I4" s="6" t="n">
        <v>5500</v>
      </c>
      <c r="J4" s="6" t="n">
        <v>11000</v>
      </c>
      <c r="K4" s="4" t="inlineStr">
        <is>
          <t>UNIVERSAL WHEEL ALIGNMENT CENTER</t>
        </is>
      </c>
      <c r="L4" s="2" t="inlineStr">
        <is>
          <t>243</t>
        </is>
      </c>
      <c r="M4" s="2" t="inlineStr">
        <is>
          <t>05/02/2026</t>
        </is>
      </c>
      <c r="N4" s="4" t="inlineStr">
        <is>
          <t>37ABHPI7325N1Z8</t>
        </is>
      </c>
      <c r="O4" s="4" t="inlineStr">
        <is>
          <t>D.No. 35-413, Purushottampatnam, Kotappakonda Road, CHILAKALURIPET - 522 616</t>
        </is>
      </c>
      <c r="P4" s="2" t="inlineStr">
        <is>
          <t>2375</t>
        </is>
      </c>
      <c r="Q4" s="6" t="n">
        <v>2</v>
      </c>
      <c r="R4" s="7" t="n"/>
      <c r="S4" s="7" t="n"/>
      <c r="T4" s="14" t="inlineStr">
        <is>
          <t>88.2%</t>
        </is>
      </c>
      <c r="U4" s="2" t="n"/>
      <c r="V4" s="4" t="n"/>
    </row>
    <row r="5">
      <c r="A5" s="9" t="n">
        <v>4</v>
      </c>
      <c r="B5" s="10">
        <f>HYPERLINK("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", "View Image")</f>
        <v/>
      </c>
      <c r="C5" s="11" t="inlineStr">
        <is>
          <t>Sai</t>
        </is>
      </c>
      <c r="D5" s="9" t="inlineStr">
        <is>
          <t>8555842325</t>
        </is>
      </c>
      <c r="E5" s="9" t="inlineStr">
        <is>
          <t>TS08FC9916</t>
        </is>
      </c>
      <c r="F5" s="11" t="inlineStr">
        <is>
          <t>145/80-R12</t>
        </is>
      </c>
      <c r="G5" s="11" t="inlineStr">
        <is>
          <t>Bridgestone</t>
        </is>
      </c>
      <c r="H5" s="9" t="n"/>
      <c r="I5" s="15" t="n">
        <v>4000</v>
      </c>
      <c r="J5" s="15" t="n">
        <v>8000</v>
      </c>
      <c r="K5" s="11" t="inlineStr">
        <is>
          <t>TYRE MARKET</t>
        </is>
      </c>
      <c r="L5" s="9" t="inlineStr">
        <is>
          <t>1631</t>
        </is>
      </c>
      <c r="M5" s="9" t="inlineStr">
        <is>
          <t>31/01/2026</t>
        </is>
      </c>
      <c r="N5" s="11" t="inlineStr">
        <is>
          <t>37ARSPG0348Q1Z3</t>
        </is>
      </c>
      <c r="O5" s="11" t="inlineStr">
        <is>
          <t># 1/651-7-1, Nandyal Road, TADIPATRI - 515 411, Anantapuramu Dt. A.P.</t>
        </is>
      </c>
      <c r="P5" s="9" t="n"/>
      <c r="Q5" s="15" t="n">
        <v>2</v>
      </c>
      <c r="R5" s="12" t="n"/>
      <c r="S5" s="13" t="n">
        <v>610.17</v>
      </c>
      <c r="T5" s="8" t="inlineStr">
        <is>
          <t>82.4%</t>
        </is>
      </c>
      <c r="U5" s="9" t="n"/>
      <c r="V5" s="11" t="n"/>
    </row>
    <row r="6">
      <c r="A6" s="2" t="n">
        <v>2</v>
      </c>
      <c r="B6" s="3">
        <f>HYPERLINK("https://api.cuup0dd28g-bridgesto1-p1-public.model-t.cc.commerce.ondemand.com/medias/17702745230506109391809392747970.jpg?context=bWFzdGVyfFdhcnJhbnR5X0ludm9pY2V8NTI0MTUxfGltYWdlL2pwZWd8YURoakwyaGpaUzh5T1Rnek5qUTBNRFUyTnpnek9DOHhOemN3TWpjME5USXpNRFV3TmpFd09UTTVNVGd3T1RNNU1qYzBOemszTUM1cWNHY3w5NzU0NmY0OWI2MzM3MzgxN2M0NDdiM2RkNGNhODRiYzg2NjlhNzY5NDBmNmVmMDFjNTFiMDYyMjljMzA5MDNi", "View Image")</f>
        <v/>
      </c>
      <c r="C6" s="4" t="inlineStr">
        <is>
          <t>G V S S BHIMA SHANKARA SASTRY</t>
        </is>
      </c>
      <c r="D6" s="2" t="inlineStr">
        <is>
          <t>9989602360</t>
        </is>
      </c>
      <c r="E6" s="2" t="inlineStr">
        <is>
          <t>AP31ED3129</t>
        </is>
      </c>
      <c r="F6" s="4" t="inlineStr">
        <is>
          <t>165/70R14</t>
        </is>
      </c>
      <c r="G6" s="4" t="inlineStr">
        <is>
          <t>STURDO</t>
        </is>
      </c>
      <c r="H6" s="2" t="n"/>
      <c r="I6" s="5" t="n">
        <v>3899.99</v>
      </c>
      <c r="J6" s="5" t="n">
        <v>15600</v>
      </c>
      <c r="K6" s="4" t="inlineStr">
        <is>
          <t>SRI RADHAKRISHNA TYRES</t>
        </is>
      </c>
      <c r="L6" s="2" t="inlineStr">
        <is>
          <t>514</t>
        </is>
      </c>
      <c r="M6" s="2" t="inlineStr">
        <is>
          <t>05/02/2026</t>
        </is>
      </c>
      <c r="N6" s="4" t="inlineStr">
        <is>
          <t>37APDPN9740E1ZQ</t>
        </is>
      </c>
      <c r="O6" s="4" t="inlineStr">
        <is>
          <t>MIG-1, SF S-128, Beside Cricket Stadium, P.M. Palem, Madhurawada, Visakhapatnam</t>
        </is>
      </c>
      <c r="P6" s="2" t="inlineStr">
        <is>
          <t>4UWUKBB5025-4</t>
        </is>
      </c>
      <c r="Q6" s="6" t="n">
        <v>4</v>
      </c>
      <c r="R6" s="5" t="n">
        <v>0.02</v>
      </c>
      <c r="S6" s="5" t="n">
        <v>2379.66</v>
      </c>
      <c r="T6" s="14" t="inlineStr">
        <is>
          <t>94.1%</t>
        </is>
      </c>
      <c r="U6" s="2" t="n"/>
      <c r="V6" s="4" t="n"/>
    </row>
    <row r="7">
      <c r="A7" s="9" t="n">
        <v>5</v>
      </c>
      <c r="B7" s="10">
        <f>HYPERLINK("https://api.cuup0dd28g-bridgesto1-p1-public.model-t.cc.commerce.ondemand.com/medias/17702764381938396460913947222556.jpg?context=bWFzdGVyfFdhcnJhbnR5X0ludm9pY2V8NTEyODAwfGltYWdlL2pwZWd8YURJNUwyZzBZUzh5T1Rnek9ETTBOakl5TXpZME5pOHhOemN3TWpjMk5ETTRNVGt6T0RNNU5qUTJNRGt4TXprME56SXlNalUxTmk1cWNHY3xjNTljNDJjYjlmNzMxMTc1NzY4MjllN2UzZjU2M2RjNjk0ODc5MzIwODJmOGZhOTZkYmQ2MzEzNDFmYzlkYmQx", "View Image")</f>
        <v/>
      </c>
      <c r="C7" s="11" t="inlineStr">
        <is>
          <t>G. Lavanya garu</t>
        </is>
      </c>
      <c r="D7" s="9" t="inlineStr">
        <is>
          <t>9492232699</t>
        </is>
      </c>
      <c r="E7" s="9" t="inlineStr">
        <is>
          <t>AP31EP1222</t>
        </is>
      </c>
      <c r="F7" s="11" t="inlineStr">
        <is>
          <t>185/65 R15</t>
        </is>
      </c>
      <c r="G7" s="11" t="inlineStr">
        <is>
          <t>Sturdo</t>
        </is>
      </c>
      <c r="H7" s="9" t="n"/>
      <c r="I7" s="12" t="n"/>
      <c r="J7" s="13" t="n">
        <v>25600</v>
      </c>
      <c r="K7" s="11" t="n"/>
      <c r="L7" s="9" t="n"/>
      <c r="M7" s="9" t="inlineStr">
        <is>
          <t>05/01/26</t>
        </is>
      </c>
      <c r="N7" s="11" t="n"/>
      <c r="O7" s="11" t="n"/>
      <c r="P7" s="9" t="n"/>
      <c r="Q7" s="15" t="n">
        <v>4</v>
      </c>
      <c r="R7" s="12" t="n"/>
      <c r="S7" s="13" t="n">
        <v>3906</v>
      </c>
      <c r="T7" s="16" t="inlineStr">
        <is>
          <t>52.9%</t>
        </is>
      </c>
      <c r="U7" s="9" t="n"/>
      <c r="V7" s="11" t="n"/>
    </row>
    <row r="8">
      <c r="A8" s="2" t="n">
        <v>8</v>
      </c>
      <c r="B8" s="3">
        <f>HYPERLINK("https://api.cuup0dd28g-bridgesto1-p1-public.model-t.cc.commerce.ondemand.com/medias/17702694215184615927725562672792.jpg?context=bWFzdGVyfFdhcnJhbnR5X0ludm9pY2V8NTA2MTQxfGltYWdlL2pwZWd8YURobUwyaGpZeTh5T1Rnek5USTVPVGszT1RJNU5DOHhOemN3TWpZNU5ESXhOVEU0TkRZeE5Ua3lOemN5TlRVMk1qWTNNamM1TWk1cWNHY3xhYzhkNjg3ZmZiY2Y4MzdmYWU0MzVmNjFhYmFjMjVkYmQyMTc2YjVhMzM4YjA1ZTZlYzIzYWQ0ODA2MTExOTlj", "View Image")</f>
        <v/>
      </c>
      <c r="C8" s="4" t="inlineStr">
        <is>
          <t>G. RAJESH VARMA</t>
        </is>
      </c>
      <c r="D8" s="2" t="inlineStr">
        <is>
          <t>7730960193</t>
        </is>
      </c>
      <c r="E8" s="2" t="inlineStr">
        <is>
          <t>AP04AT0900</t>
        </is>
      </c>
      <c r="F8" s="4" t="inlineStr">
        <is>
          <t>205/65 R15</t>
        </is>
      </c>
      <c r="G8" s="4" t="inlineStr">
        <is>
          <t>RH2</t>
        </is>
      </c>
      <c r="H8" s="2" t="n"/>
      <c r="I8" s="7" t="n"/>
      <c r="J8" s="6" t="n">
        <v>6500</v>
      </c>
      <c r="K8" s="4" t="inlineStr">
        <is>
          <t>SRI LAKSHMI SAI AGENCIES &amp; TYRES</t>
        </is>
      </c>
      <c r="L8" s="2" t="inlineStr">
        <is>
          <t>115</t>
        </is>
      </c>
      <c r="M8" s="2" t="inlineStr">
        <is>
          <t>05/02/2026</t>
        </is>
      </c>
      <c r="N8" s="4" t="inlineStr">
        <is>
          <t>37AHBPN3196Q1ZM</t>
        </is>
      </c>
      <c r="O8" s="4" t="inlineStr">
        <is>
          <t>Nagineni Complex, By-Pass Road, RAJAMPET - 516 115, A.P.</t>
        </is>
      </c>
      <c r="P8" s="2" t="inlineStr">
        <is>
          <t>K19UVKDC4525</t>
        </is>
      </c>
      <c r="Q8" s="6" t="n">
        <v>1</v>
      </c>
      <c r="R8" s="7" t="n"/>
      <c r="S8" s="6" t="n">
        <v>182</v>
      </c>
      <c r="T8" s="8" t="inlineStr">
        <is>
          <t>82.4%</t>
        </is>
      </c>
      <c r="U8" s="2" t="n"/>
      <c r="V8" s="4" t="n"/>
    </row>
    <row r="9">
      <c r="A9" s="9" t="n">
        <v>3</v>
      </c>
      <c r="B9" s="10">
        <f>HYPERLINK("https://api.cuup0dd28g-bridgesto1-p1-public.model-t.cc.commerce.ondemand.com/medias/17701937402518413102739324440654.jpg?context=bWFzdGVyfFdhcnJhbnR5X0ludm9pY2V8NTEzNzM2fGltYWdlL2pwZWd8YURCaUwyaGxNaTh5T1Rnd09UQTRNalk1TlRjeE1DOHhOemN3TVRrek56UXdNalV4T0RReE16RXdNamN6T1RNeU5EUTBNRFkxTkM1cWNHY3w4ZThkMGM0ZDA2MjIzNTcxNzk4YzE0YjNjOGE0OTJjZDk5MDYyYTA3MDE3ZTlmYWEyZmQxZjc2ZDBiODIyZjJj", "View Image")</f>
        <v/>
      </c>
      <c r="C9" s="11" t="inlineStr">
        <is>
          <t>G. DURGA PRASAD</t>
        </is>
      </c>
      <c r="D9" s="9" t="n"/>
      <c r="E9" s="9" t="inlineStr">
        <is>
          <t>AP39NH4462</t>
        </is>
      </c>
      <c r="F9" s="11" t="inlineStr">
        <is>
          <t>165/70 R14</t>
        </is>
      </c>
      <c r="G9" s="11" t="inlineStr">
        <is>
          <t>BRIDGESTONE</t>
        </is>
      </c>
      <c r="H9" s="9" t="inlineStr">
        <is>
          <t>DOT 4725</t>
        </is>
      </c>
      <c r="I9" s="15" t="n">
        <v>4100</v>
      </c>
      <c r="J9" s="15" t="n">
        <v>16400</v>
      </c>
      <c r="K9" s="11" t="inlineStr">
        <is>
          <t>SRI SIVA TYRE PLUS</t>
        </is>
      </c>
      <c r="L9" s="9" t="inlineStr">
        <is>
          <t>98</t>
        </is>
      </c>
      <c r="M9" s="9" t="inlineStr">
        <is>
          <t>04-02-26</t>
        </is>
      </c>
      <c r="N9" s="11" t="inlineStr">
        <is>
          <t>37BNKPA8111J1Z1</t>
        </is>
      </c>
      <c r="O9" s="11" t="inlineStr">
        <is>
          <t>Beside Kumara Swamy Temple, Opp. SP Office, Barma Colony, RAJAMAHENDRAVARAM.</t>
        </is>
      </c>
      <c r="P9" s="9" t="n"/>
      <c r="Q9" s="15" t="n">
        <v>4</v>
      </c>
      <c r="R9" s="12" t="n"/>
      <c r="S9" s="12" t="n"/>
      <c r="T9" s="8" t="inlineStr">
        <is>
          <t>76.5%</t>
        </is>
      </c>
      <c r="U9" s="9" t="n"/>
      <c r="V9" s="11" t="n"/>
    </row>
    <row r="10">
      <c r="A10" s="2" t="n">
        <v>10</v>
      </c>
      <c r="B10" s="3">
        <f>HYPERLINK("https://api.cuup0dd28g-bridgesto1-p1-public.model-t.cc.commerce.ondemand.com/medias/17701248644324642553755971901623.jpg?context=bWFzdGVyfFdhcnJhbnR5X0ludm9pY2V8NTA2Mjg3fGltYWdlL2pwZWd8YUdZMUwyZzJZaTh5T1RjNE56YzJOalExTmpNMU1DOHhOemN3TVRJME9EWTBORE15TkRZME1qVTFNemMxTlRrM01Ua3dNVFl5TXk1cWNHY3xhYTk4OTMyY2MxNThiZTg1ZmY2ZGU5NjUwZTM3MWM2NGZhNDdlYmNlYmRiODg0YzA5MzRiYTRmNjM4MGRkZTkx", "View Image")</f>
        <v/>
      </c>
      <c r="C10" s="4" t="inlineStr">
        <is>
          <t>G. Siva Rama Krishna</t>
        </is>
      </c>
      <c r="D10" s="2" t="inlineStr">
        <is>
          <t>9951372335</t>
        </is>
      </c>
      <c r="E10" s="2" t="inlineStr">
        <is>
          <t>AP05EY2740</t>
        </is>
      </c>
      <c r="F10" s="4" t="inlineStr">
        <is>
          <t>175/65R14</t>
        </is>
      </c>
      <c r="G10" s="4" t="inlineStr">
        <is>
          <t>Bridgestone</t>
        </is>
      </c>
      <c r="H10" s="2" t="n"/>
      <c r="I10" s="7" t="n"/>
      <c r="J10" s="6" t="n">
        <v>11600</v>
      </c>
      <c r="K10" s="4" t="inlineStr">
        <is>
          <t>SRICHAKRA TYRES</t>
        </is>
      </c>
      <c r="L10" s="2" t="inlineStr">
        <is>
          <t>40</t>
        </is>
      </c>
      <c r="M10" s="2" t="inlineStr">
        <is>
          <t>03.08.22</t>
        </is>
      </c>
      <c r="N10" s="4" t="n"/>
      <c r="O10" s="4" t="inlineStr">
        <is>
          <t>Plot No. 17, F-12/1, Self Employment Industrial Estate, Lakshmikanth, I.T.I., Premises, L.B. Nagar, Cross Road No. 5, Nagamallithota, KAKINADA - 533 003.</t>
        </is>
      </c>
      <c r="P10" s="2" t="inlineStr">
        <is>
          <t>4W9PKBA4625</t>
        </is>
      </c>
      <c r="Q10" s="6" t="n">
        <v>2</v>
      </c>
      <c r="R10" s="7" t="n"/>
      <c r="S10" s="5" t="n">
        <v>1769.48</v>
      </c>
      <c r="T10" s="8" t="inlineStr">
        <is>
          <t>76.5%</t>
        </is>
      </c>
      <c r="U10" s="2" t="n"/>
      <c r="V10" s="4" t="n"/>
    </row>
    <row r="11">
      <c r="A11" s="9" t="n">
        <v>9</v>
      </c>
      <c r="B11" s="10">
        <f>HYPERLINK("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", "View Image")</f>
        <v/>
      </c>
      <c r="C11" s="11" t="n"/>
      <c r="D11" s="9" t="inlineStr">
        <is>
          <t>9966444408</t>
        </is>
      </c>
      <c r="E11" s="9" t="inlineStr">
        <is>
          <t>KA03MU211</t>
        </is>
      </c>
      <c r="F11" s="11" t="inlineStr">
        <is>
          <t>175/65R14</t>
        </is>
      </c>
      <c r="G11" s="11" t="n"/>
      <c r="H11" s="9" t="inlineStr">
        <is>
          <t>DOT 1823</t>
        </is>
      </c>
      <c r="I11" s="12" t="n"/>
      <c r="J11" s="12" t="n"/>
      <c r="K11" s="11" t="n"/>
      <c r="L11" s="9" t="n"/>
      <c r="M11" s="9" t="n"/>
      <c r="N11" s="11" t="n"/>
      <c r="O11" s="11" t="n"/>
      <c r="P11" s="9" t="inlineStr">
        <is>
          <t>4W9PKBA3725</t>
        </is>
      </c>
      <c r="Q11" s="12" t="n"/>
      <c r="R11" s="12" t="n"/>
      <c r="S11" s="12" t="n"/>
      <c r="T11" s="16" t="inlineStr">
        <is>
          <t>29.4%</t>
        </is>
      </c>
      <c r="U11" s="9" t="n"/>
      <c r="V11" s="11" t="n"/>
    </row>
  </sheetData>
  <autoFilter ref="A1: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2026-07-31T08:22:27Z</dcterms:created>
  <dcterms:modified xmlns:dcterms="http://purl.org/dc/terms/" xmlns:xsi="http://www.w3.org/2001/XMLSchema-instance" xsi:type="dcterms:W3CDTF">2026-07-31T08:22:28Z</dcterms:modified>
</cp:coreProperties>
</file>